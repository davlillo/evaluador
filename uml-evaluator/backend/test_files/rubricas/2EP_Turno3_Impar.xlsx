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dy\Documents\UES\POO115\2026\Evaluaciones\PE2\Soluciones\"/>
    </mc:Choice>
  </mc:AlternateContent>
  <xr:revisionPtr revIDLastSave="0" documentId="13_ncr:1_{AE8A9F28-B9C6-4928-B7E3-4E608842EFD4}" xr6:coauthVersionLast="47" xr6:coauthVersionMax="47" xr10:uidLastSave="{00000000-0000-0000-0000-000000000000}"/>
  <bookViews>
    <workbookView xWindow="-108" yWindow="-108" windowWidth="23256" windowHeight="12456" xr2:uid="{C40375EC-27CF-41A2-BC9C-1B3DE2173322}"/>
  </bookViews>
  <sheets>
    <sheet name="Turno3Impar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7" l="1"/>
  <c r="B6" i="7"/>
  <c r="E19" i="7"/>
  <c r="E22" i="7"/>
  <c r="E21" i="7"/>
  <c r="E18" i="7"/>
  <c r="E17" i="7"/>
  <c r="E12" i="7"/>
  <c r="E15" i="7"/>
  <c r="E5" i="7"/>
  <c r="E14" i="7"/>
  <c r="E11" i="7"/>
  <c r="E9" i="7"/>
  <c r="E8" i="7"/>
  <c r="E23" i="7" l="1"/>
</calcChain>
</file>

<file path=xl/sharedStrings.xml><?xml version="1.0" encoding="utf-8"?>
<sst xmlns="http://schemas.openxmlformats.org/spreadsheetml/2006/main" count="26" uniqueCount="22">
  <si>
    <t>Esperados</t>
  </si>
  <si>
    <t>Nota ponderada</t>
  </si>
  <si>
    <t>Total</t>
  </si>
  <si>
    <t>Modelados</t>
  </si>
  <si>
    <t>Criterio</t>
  </si>
  <si>
    <t>%</t>
  </si>
  <si>
    <t>CARNET</t>
  </si>
  <si>
    <t>Observaciones</t>
  </si>
  <si>
    <t>Clases</t>
  </si>
  <si>
    <t>Asociación reflexiva Sala</t>
  </si>
  <si>
    <t>Multiplicidad 1 en Sala</t>
  </si>
  <si>
    <t>Asociación Sala - Funcion</t>
  </si>
  <si>
    <t>Multiplicidad 0..* en Funcion</t>
  </si>
  <si>
    <t>Asociación Funcion - Obra</t>
  </si>
  <si>
    <t>Multiplicidad 1 en Obra</t>
  </si>
  <si>
    <t>Multiplicidad 1..* en Funcion</t>
  </si>
  <si>
    <t>Multiplicidad 1..* en Tecnico</t>
  </si>
  <si>
    <t>Asociación Funcion - Tecnico</t>
  </si>
  <si>
    <t>Clase de asociacion Obra - Actor</t>
  </si>
  <si>
    <t>Composición Sala - Butaca</t>
  </si>
  <si>
    <t>Multiplicidad 1..* en Butaca</t>
  </si>
  <si>
    <t>Relaciones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</si>
</sst>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1" xfId="0" applyNumberForma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indent="1"/>
    </xf>
    <xf numFmtId="0" fontId="1" fillId="0" borderId="1" xfId="0" applyFont="1" applyBorder="1" applyAlignment="1">
      <alignment horizontal="left" indent="1"/>
    </xf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2" fontId="1" fillId="0" borderId="1" xfId="0" applyNumberFormat="1" applyFont="1" applyBorder="1"/>
    <xf numFmtId="0" fontId="0" fillId="0" borderId="1" xfId="0" applyBorder="1" applyAlignment="1">
      <alignment horizontal="left" indent="2"/>
    </xf>
    <xf numFmtId="0" fontId="1" fillId="2" borderId="1" xfId="0" applyFont="1" applyFill="1" applyBorder="1" applyAlignment="1">
      <alignment horizontal="left" indent="1"/>
    </xf>
    <xf numFmtId="2" fontId="0" fillId="2" borderId="1" xfId="0" applyNumberFormat="1" applyFill="1" applyBorder="1"/>
    <xf numFmtId="0" fontId="0" fillId="2" borderId="1" xfId="0" applyFill="1" applyBorder="1"/>
    <xf numFmtId="0" fontId="0" fillId="2" borderId="1" xfId="0" applyFill="1" applyBorder="1" applyAlignment="1">
      <alignment horizontal="left" indent="1"/>
    </xf>
    <xf numFmtId="2" fontId="0" fillId="2" borderId="1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5A6B-4A30-4074-B176-E48CF2AAD6F9}">
  <dimension ref="A2:F23"/>
  <sheetViews>
    <sheetView tabSelected="1" topLeftCell="A4" workbookViewId="0">
      <selection activeCell="E16" sqref="E16"/>
    </sheetView>
  </sheetViews>
  <sheetFormatPr baseColWidth="10" defaultRowHeight="14.4" x14ac:dyDescent="0.3"/>
  <cols>
    <col min="1" max="1" width="59.5546875" bestFit="1" customWidth="1"/>
    <col min="2" max="2" width="6.5546875" bestFit="1" customWidth="1"/>
    <col min="3" max="3" width="9.5546875" bestFit="1" customWidth="1"/>
    <col min="4" max="4" width="10.44140625" bestFit="1" customWidth="1"/>
    <col min="5" max="5" width="14.77734375" bestFit="1" customWidth="1"/>
    <col min="6" max="6" width="57.33203125" style="2" bestFit="1" customWidth="1"/>
  </cols>
  <sheetData>
    <row r="2" spans="1:6" x14ac:dyDescent="0.3">
      <c r="A2" s="1" t="s">
        <v>6</v>
      </c>
      <c r="B2" s="2"/>
      <c r="C2" s="2"/>
      <c r="D2" s="2"/>
      <c r="E2" s="2"/>
    </row>
    <row r="3" spans="1:6" x14ac:dyDescent="0.3">
      <c r="A3" s="1"/>
      <c r="B3" s="2"/>
      <c r="C3" s="2"/>
      <c r="D3" s="2"/>
      <c r="E3" s="2"/>
    </row>
    <row r="4" spans="1:6" x14ac:dyDescent="0.3">
      <c r="A4" s="8" t="s">
        <v>4</v>
      </c>
      <c r="B4" s="8" t="s">
        <v>5</v>
      </c>
      <c r="C4" s="8" t="s">
        <v>0</v>
      </c>
      <c r="D4" s="8" t="s">
        <v>3</v>
      </c>
      <c r="E4" s="8" t="s">
        <v>1</v>
      </c>
      <c r="F4" s="9" t="s">
        <v>7</v>
      </c>
    </row>
    <row r="5" spans="1:6" x14ac:dyDescent="0.3">
      <c r="A5" s="6" t="s">
        <v>8</v>
      </c>
      <c r="B5" s="7">
        <v>40</v>
      </c>
      <c r="C5" s="4">
        <v>6</v>
      </c>
      <c r="D5" s="5"/>
      <c r="E5" s="3">
        <f t="shared" ref="E5:E14" si="0">IF(C5&gt;=D5,(D5/C5)*B5,IF(C5&lt;D5,(C5/D5)*B5,0))</f>
        <v>0</v>
      </c>
      <c r="F5" s="5"/>
    </row>
    <row r="6" spans="1:6" x14ac:dyDescent="0.3">
      <c r="A6" s="13" t="s">
        <v>21</v>
      </c>
      <c r="B6" s="14">
        <f>SUM(B7:B22)</f>
        <v>60</v>
      </c>
      <c r="C6" s="15"/>
      <c r="D6" s="16"/>
      <c r="E6" s="17"/>
      <c r="F6" s="5"/>
    </row>
    <row r="7" spans="1:6" x14ac:dyDescent="0.3">
      <c r="A7" s="13" t="s">
        <v>9</v>
      </c>
      <c r="B7" s="14"/>
      <c r="C7" s="15"/>
      <c r="D7" s="15"/>
      <c r="E7" s="17"/>
      <c r="F7" s="10"/>
    </row>
    <row r="8" spans="1:6" x14ac:dyDescent="0.3">
      <c r="A8" s="12" t="s">
        <v>10</v>
      </c>
      <c r="B8" s="7">
        <v>5</v>
      </c>
      <c r="C8" s="4">
        <v>1</v>
      </c>
      <c r="D8" s="4"/>
      <c r="E8" s="3">
        <f t="shared" si="0"/>
        <v>0</v>
      </c>
      <c r="F8" s="10"/>
    </row>
    <row r="9" spans="1:6" x14ac:dyDescent="0.3">
      <c r="A9" s="12" t="s">
        <v>10</v>
      </c>
      <c r="B9" s="7">
        <v>5</v>
      </c>
      <c r="C9" s="4">
        <v>1</v>
      </c>
      <c r="D9" s="4"/>
      <c r="E9" s="3">
        <f t="shared" si="0"/>
        <v>0</v>
      </c>
      <c r="F9" s="10"/>
    </row>
    <row r="10" spans="1:6" x14ac:dyDescent="0.3">
      <c r="A10" s="13" t="s">
        <v>11</v>
      </c>
      <c r="B10" s="14"/>
      <c r="C10" s="15"/>
      <c r="D10" s="15"/>
      <c r="E10" s="17"/>
      <c r="F10" s="10"/>
    </row>
    <row r="11" spans="1:6" x14ac:dyDescent="0.3">
      <c r="A11" s="12" t="s">
        <v>10</v>
      </c>
      <c r="B11" s="7">
        <v>5</v>
      </c>
      <c r="C11" s="4">
        <v>1</v>
      </c>
      <c r="D11" s="4"/>
      <c r="E11" s="3">
        <f t="shared" si="0"/>
        <v>0</v>
      </c>
      <c r="F11" s="10"/>
    </row>
    <row r="12" spans="1:6" x14ac:dyDescent="0.3">
      <c r="A12" s="12" t="s">
        <v>12</v>
      </c>
      <c r="B12" s="7">
        <v>5</v>
      </c>
      <c r="C12" s="4">
        <v>1</v>
      </c>
      <c r="D12" s="4"/>
      <c r="E12" s="3">
        <f t="shared" si="0"/>
        <v>0</v>
      </c>
      <c r="F12" s="10"/>
    </row>
    <row r="13" spans="1:6" x14ac:dyDescent="0.3">
      <c r="A13" s="13" t="s">
        <v>17</v>
      </c>
      <c r="B13" s="14"/>
      <c r="C13" s="15"/>
      <c r="D13" s="15"/>
      <c r="E13" s="17"/>
      <c r="F13" s="10"/>
    </row>
    <row r="14" spans="1:6" x14ac:dyDescent="0.3">
      <c r="A14" s="12" t="s">
        <v>12</v>
      </c>
      <c r="B14" s="7">
        <v>5</v>
      </c>
      <c r="C14" s="4">
        <v>1</v>
      </c>
      <c r="D14" s="4"/>
      <c r="E14" s="3">
        <f t="shared" si="0"/>
        <v>0</v>
      </c>
      <c r="F14" s="10"/>
    </row>
    <row r="15" spans="1:6" x14ac:dyDescent="0.3">
      <c r="A15" s="12" t="s">
        <v>16</v>
      </c>
      <c r="B15" s="7">
        <v>5</v>
      </c>
      <c r="C15" s="4">
        <v>1</v>
      </c>
      <c r="D15" s="7"/>
      <c r="E15" s="3">
        <f t="shared" ref="E15:E16" si="1">IF(C15&gt;=D15,(D15/C15)*B15,IF(C15&lt;D15,(C15/D15)*B15,0))</f>
        <v>0</v>
      </c>
      <c r="F15" s="10"/>
    </row>
    <row r="16" spans="1:6" x14ac:dyDescent="0.3">
      <c r="A16" s="13" t="s">
        <v>13</v>
      </c>
      <c r="B16" s="14"/>
      <c r="C16" s="15"/>
      <c r="D16" s="14"/>
      <c r="E16" s="14"/>
      <c r="F16" s="3"/>
    </row>
    <row r="17" spans="1:6" x14ac:dyDescent="0.3">
      <c r="A17" s="12" t="s">
        <v>14</v>
      </c>
      <c r="B17" s="7">
        <v>5</v>
      </c>
      <c r="C17" s="4">
        <v>1</v>
      </c>
      <c r="D17" s="4"/>
      <c r="E17" s="3">
        <f t="shared" ref="E17:E18" si="2">IF(C17&gt;=D17,(D17/C17)*B17,IF(C17&lt;D17,(C17/D17)*B17,0))</f>
        <v>0</v>
      </c>
      <c r="F17" s="3"/>
    </row>
    <row r="18" spans="1:6" x14ac:dyDescent="0.3">
      <c r="A18" s="12" t="s">
        <v>15</v>
      </c>
      <c r="B18" s="7">
        <v>5</v>
      </c>
      <c r="C18" s="4">
        <v>1</v>
      </c>
      <c r="D18" s="7"/>
      <c r="E18" s="3">
        <f t="shared" si="2"/>
        <v>0</v>
      </c>
      <c r="F18" s="3"/>
    </row>
    <row r="19" spans="1:6" x14ac:dyDescent="0.3">
      <c r="A19" s="6" t="s">
        <v>18</v>
      </c>
      <c r="B19" s="7">
        <v>10</v>
      </c>
      <c r="C19" s="4">
        <v>1</v>
      </c>
      <c r="D19" s="7"/>
      <c r="E19" s="3">
        <f t="shared" ref="E19" si="3">IF(C19&gt;=D19,(D19/C19)*B19,IF(C19&lt;D19,(C19/D19)*B19,0))</f>
        <v>0</v>
      </c>
      <c r="F19" s="3"/>
    </row>
    <row r="20" spans="1:6" x14ac:dyDescent="0.3">
      <c r="A20" s="13" t="s">
        <v>19</v>
      </c>
      <c r="B20" s="14"/>
      <c r="C20" s="15"/>
      <c r="D20" s="14"/>
      <c r="E20" s="14"/>
      <c r="F20" s="3"/>
    </row>
    <row r="21" spans="1:6" x14ac:dyDescent="0.3">
      <c r="A21" s="12" t="s">
        <v>10</v>
      </c>
      <c r="B21" s="7">
        <v>5</v>
      </c>
      <c r="C21" s="4">
        <v>1</v>
      </c>
      <c r="D21" s="4"/>
      <c r="E21" s="3">
        <f t="shared" ref="E21:E22" si="4">IF(C21&gt;=D21,(D21/C21)*B21,IF(C21&lt;D21,(C21/D21)*B21,0))</f>
        <v>0</v>
      </c>
      <c r="F21" s="3"/>
    </row>
    <row r="22" spans="1:6" x14ac:dyDescent="0.3">
      <c r="A22" s="12" t="s">
        <v>20</v>
      </c>
      <c r="B22" s="7">
        <v>5</v>
      </c>
      <c r="C22" s="4">
        <v>1</v>
      </c>
      <c r="D22" s="7"/>
      <c r="E22" s="3">
        <f t="shared" si="4"/>
        <v>0</v>
      </c>
      <c r="F22" s="3"/>
    </row>
    <row r="23" spans="1:6" x14ac:dyDescent="0.3">
      <c r="A23" s="6" t="s">
        <v>2</v>
      </c>
      <c r="B23" s="11">
        <f>SUM(B5:B6)</f>
        <v>100</v>
      </c>
      <c r="C23" s="4"/>
      <c r="D23" s="4"/>
      <c r="E23" s="7">
        <f>SUM(E5:E22)/10</f>
        <v>0</v>
      </c>
      <c r="F23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C1CFB8651475A4A9E3F8E335108D08C" ma:contentTypeVersion="13" ma:contentTypeDescription="Crear nuevo documento." ma:contentTypeScope="" ma:versionID="799c6757dbf043a569d5d5070a6f5516">
  <xsd:schema xmlns:xsd="http://www.w3.org/2001/XMLSchema" xmlns:xs="http://www.w3.org/2001/XMLSchema" xmlns:p="http://schemas.microsoft.com/office/2006/metadata/properties" xmlns:ns3="24be1f6d-b2ac-422e-8bfd-a4d423977bd7" xmlns:ns4="a6c77d5d-faec-499d-a7fd-cfe88d59fb4b" targetNamespace="http://schemas.microsoft.com/office/2006/metadata/properties" ma:root="true" ma:fieldsID="c4b1e85514066d9758776a98d5bf0d9b" ns3:_="" ns4:_="">
    <xsd:import namespace="24be1f6d-b2ac-422e-8bfd-a4d423977bd7"/>
    <xsd:import namespace="a6c77d5d-faec-499d-a7fd-cfe88d59fb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be1f6d-b2ac-422e-8bfd-a4d423977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c77d5d-faec-499d-a7fd-cfe88d59fb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430239-45E0-4980-A6C1-1DA0DB832DF0}">
  <ds:schemaRefs>
    <ds:schemaRef ds:uri="a6c77d5d-faec-499d-a7fd-cfe88d59fb4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24be1f6d-b2ac-422e-8bfd-a4d423977bd7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E7F7A1A-3186-4EEF-843C-21BFE2A7C3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81F451-9108-4093-B9CA-F27543F269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be1f6d-b2ac-422e-8bfd-a4d423977bd7"/>
    <ds:schemaRef ds:uri="a6c77d5d-faec-499d-a7fd-cfe88d59fb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Turno3Impar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Wilfredo Chicas Villegas</dc:creator>
  <cp:lastModifiedBy>Rudy Chicas</cp:lastModifiedBy>
  <cp:lastPrinted>2025-09-16T21:40:20Z</cp:lastPrinted>
  <dcterms:created xsi:type="dcterms:W3CDTF">2025-04-24T20:07:59Z</dcterms:created>
  <dcterms:modified xsi:type="dcterms:W3CDTF">2026-09-26T00:52:35Z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0x010100AC1CFB8651475A4A9E3F8E335108D08C</vt:lpwstr>
  </property>
</Properties>
</file>